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7b2068eb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ee_Order_VN" sheetId="1" r:id="Ra055030b19d144bf"/>
    <x:sheet xmlns:r="http://schemas.openxmlformats.org/officeDocument/2006/relationships" name="Mapping_Guide" sheetId="2" r:id="R51b689b90b2646cf"/>
    <x:sheet xmlns:r="http://schemas.openxmlformats.org/officeDocument/2006/relationships" name="Test_Info" sheetId="3" r:id="Rfba9edcefcda46d5"/>
    <x:sheet xmlns:r="http://schemas.openxmlformats.org/officeDocument/2006/relationships" name="Expected_Summary" sheetId="4" r:id="R22b88381089a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:ss"/>
    <x:numFmt numFmtId="201" formatCode="0"/>
    <x:numFmt numFmtId="202" formatCode="#,##0&quot; ₫&quot;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</x:fills>
  <x:borders count="20">
    <x:border/>
    <x:border/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5" xfId="0" applyNumberFormat="1" applyFont="1" applyFill="1" applyBorder="1"/>
    <x:xf numFmtId="202" fontId="0" fillId="0" borderId="18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 applyAlignment="1">
      <x:alignment horizontal="center"/>
    </x:xf>
    <x:xf numFmtId="0" fontId="1" fillId="3" borderId="11" xfId="0" applyNumberFormat="1" applyFont="1" applyFill="1" applyBorder="1" applyAlignment="1">
      <x:alignment horizontal="center"/>
    </x:xf>
    <x:xf numFmtId="0" fontId="1" fillId="3" borderId="12" xfId="0" applyNumberFormat="1" applyFont="1" applyFill="1" applyBorder="1" applyAlignment="1">
      <x:alignment horizontal="center"/>
    </x:xf>
    <x:xf numFmtId="0" fontId="1" fillId="3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1" fillId="4" borderId="11" xfId="0" applyNumberFormat="1" applyFont="1" applyFill="1" applyBorder="1" applyAlignment="1">
      <x:alignment horizontal="center"/>
    </x:xf>
    <x:xf numFmtId="0" fontId="1" fillId="4" borderId="13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1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2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11" xfId="0" applyNumberFormat="1" applyFont="1" applyFill="1" applyBorder="1" applyAlignment="1">
      <x:alignment horizontal="center"/>
    </x:xf>
    <x:xf numFmtId="0" fontId="1" fillId="5" borderId="13" xfId="0" applyNumberFormat="1" applyFont="1" applyFill="1" applyBorder="1" applyAlignment="1">
      <x:alignment horizontal="center"/>
    </x:xf>
    <x:xf numFmtId="202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e646e82be43fc" /><Relationship Type="http://schemas.openxmlformats.org/officeDocument/2006/relationships/theme" Target="/xl/theme/theme1.xml" Id="Rbf0cce72edea4752" /><Relationship Type="http://schemas.openxmlformats.org/officeDocument/2006/relationships/sharedStrings" Target="/xl/sharedStrings.xml" Id="R73e15e815b434b01" /><Relationship Type="http://schemas.openxmlformats.org/officeDocument/2006/relationships/worksheet" Target="/xl/worksheets/sheet1.xml" Id="Ra055030b19d144bf" /><Relationship Type="http://schemas.openxmlformats.org/officeDocument/2006/relationships/worksheet" Target="/xl/worksheets/sheet2.xml" Id="R51b689b90b2646cf" /><Relationship Type="http://schemas.openxmlformats.org/officeDocument/2006/relationships/worksheet" Target="/xl/worksheets/sheet3.xml" Id="Rfba9edcefcda46d5" /><Relationship Type="http://schemas.openxmlformats.org/officeDocument/2006/relationships/worksheet" Target="/xl/worksheets/sheet4.xml" Id="R22b88381089a414e" /></Relationships>
</file>

<file path=xl/tables/table1.xml><?xml version="1.0" encoding="utf-8"?>
<x:table xmlns:x="http://schemas.openxmlformats.org/spreadsheetml/2006/main" id="1" name="ShopeeOrderVNTable" displayName="ShopeeOrderVNTable" ref="A1:P11" headerRowCount="1">
  <x:tableColumns count="16">
    <x:tableColumn id="1" name="Mã đơn hàng"/>
    <x:tableColumn id="2" name="Ngày đặt hàng"/>
    <x:tableColumn id="3" name="Trạng thái đơn hàng"/>
    <x:tableColumn id="4" name="Tên đăng nhập người mua"/>
    <x:tableColumn id="5" name="Mã SKU"/>
    <x:tableColumn id="6" name="Tên sản phẩm"/>
    <x:tableColumn id="7" name="Số lượng"/>
    <x:tableColumn id="8" name="Đơn giá"/>
    <x:tableColumn id="9" name="Doanh thu gộp"/>
    <x:tableColumn id="10" name="Giảm giá"/>
    <x:tableColumn id="11" name="Phí sàn"/>
    <x:tableColumn id="12" name="Phí thanh toán"/>
    <x:tableColumn id="13" name="Phí vận chuyển"/>
    <x:tableColumn id="14" name="Hoàn tiền"/>
    <x:tableColumn id="15" name="Doanh thu thuần"/>
    <x:tableColumn id="16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599ff100b74db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9.420000076293945" hidden="0" customWidth="1"/>
    <x:col min="6" max="6" width="32" hidden="0" customWidth="1"/>
    <x:col min="7" max="7" width="7.400000095367432" hidden="0" customWidth="1"/>
    <x:col min="8" max="8" width="7.940000057220459" hidden="0" customWidth="1"/>
    <x:col min="9" max="9" width="12.109999656677246" hidden="0" customWidth="1"/>
    <x:col min="10" max="10" width="7.130000114440918" hidden="0" customWidth="1"/>
    <x:col min="11" max="11" width="7" hidden="0" customWidth="1"/>
    <x:col min="12" max="12" width="11.979999542236328" hidden="0" customWidth="1"/>
    <x:col min="13" max="13" width="12.25" hidden="0" customWidth="1"/>
    <x:col min="14" max="14" width="7.940000057220459" hidden="0" customWidth="1"/>
    <x:col min="15" max="15" width="13.859999656677246" hidden="0" customWidth="1"/>
    <x:col min="16" max="16" width="24" hidden="0" customWidth="1"/>
  </x:cols>
  <x:sheetData>
    <x:row r="1">
      <x:c r="A1" s="12" t="str">
        <x:v>Mã đơn hàng</x:v>
      </x:c>
      <x:c r="B1" s="13" t="str">
        <x:v>Ngày đặt hàng</x:v>
      </x:c>
      <x:c r="C1" s="13" t="str">
        <x:v>Trạng thái đơn hàng</x:v>
      </x:c>
      <x:c r="D1" s="13" t="str">
        <x:v>Tên đăng nhập người mua</x:v>
      </x:c>
      <x:c r="E1" s="13" t="str">
        <x:v>Mã SKU</x:v>
      </x:c>
      <x:c r="F1" s="13" t="str">
        <x:v>Tên sản phẩm</x:v>
      </x:c>
      <x:c r="G1" s="13" t="str">
        <x:v>Số lượng</x:v>
      </x:c>
      <x:c r="H1" s="13" t="str">
        <x:v>Đơn giá</x:v>
      </x:c>
      <x:c r="I1" s="13" t="str">
        <x:v>Doanh thu gộp</x:v>
      </x:c>
      <x:c r="J1" s="13" t="str">
        <x:v>Giảm giá</x:v>
      </x:c>
      <x:c r="K1" s="13" t="str">
        <x:v>Phí sàn</x:v>
      </x:c>
      <x:c r="L1" s="13" t="str">
        <x:v>Phí thanh toán</x:v>
      </x:c>
      <x:c r="M1" s="13" t="str">
        <x:v>Phí vận chuyển</x:v>
      </x:c>
      <x:c r="N1" s="13" t="str">
        <x:v>Hoàn tiền</x:v>
      </x:c>
      <x:c r="O1" s="13" t="str">
        <x:v>Doanh thu thuần</x:v>
      </x:c>
      <x:c r="P1" s="14" t="str">
        <x:v>Ghi chú</x:v>
      </x:c>
    </x:row>
    <x:row r="2">
      <x:c r="A2" s="15" t="str">
        <x:v>250512ABC001</x:v>
      </x:c>
      <x:c r="B2" s="30" t="n">
        <x:v>46152.385416666664</x:v>
      </x:c>
      <x:c r="C2" s="16" t="str">
        <x:v>Hoàn thành</x:v>
      </x:c>
      <x:c r="D2" s="16" t="str">
        <x:v>khachhang_01</x:v>
      </x:c>
      <x:c r="E2" s="16" t="str">
        <x:v>SKIN-001</x:v>
      </x:c>
      <x:c r="F2" s="16" t="str">
        <x:v>Sữa rửa mặt trà xanh 100ml</x:v>
      </x:c>
      <x:c r="G2" s="34" t="n">
        <x:v>2</x:v>
      </x:c>
      <x:c r="H2" s="38" t="n">
        <x:v>120000</x:v>
      </x:c>
      <x:c r="I2" s="38" t="n">
        <x:v>240000</x:v>
      </x:c>
      <x:c r="J2" s="38" t="n">
        <x:v>20000</x:v>
      </x:c>
      <x:c r="K2" s="38" t="n">
        <x:v>12000</x:v>
      </x:c>
      <x:c r="L2" s="38" t="n">
        <x:v>4000</x:v>
      </x:c>
      <x:c r="M2" s="38" t="n">
        <x:v>18000</x:v>
      </x:c>
      <x:c r="N2" s="38" t="n">
        <x:v>0</x:v>
      </x:c>
      <x:c r="O2" s="38" t="n">
        <x:v>220000</x:v>
      </x:c>
      <x:c r="P2" s="17" t="str">
        <x:v>Đơn hợp lệ</x:v>
      </x:c>
    </x:row>
    <x:row r="3">
      <x:c r="A3" s="15" t="str">
        <x:v>250512ABC002</x:v>
      </x:c>
      <x:c r="B3" s="30" t="n">
        <x:v>46152.604166666664</x:v>
      </x:c>
      <x:c r="C3" s="16" t="str">
        <x:v>Hoàn thành</x:v>
      </x:c>
      <x:c r="D3" s="16" t="str">
        <x:v>khachhang_02</x:v>
      </x:c>
      <x:c r="E3" s="16" t="str">
        <x:v>LIP-002</x:v>
      </x:c>
      <x:c r="F3" s="16" t="str">
        <x:v>Son dưỡng môi hương dâu</x:v>
      </x:c>
      <x:c r="G3" s="34" t="n">
        <x:v>1</x:v>
      </x:c>
      <x:c r="H3" s="38" t="n">
        <x:v>150000</x:v>
      </x:c>
      <x:c r="I3" s="38" t="n">
        <x:v>150000</x:v>
      </x:c>
      <x:c r="J3" s="38" t="n">
        <x:v>10000</x:v>
      </x:c>
      <x:c r="K3" s="38" t="n">
        <x:v>8000</x:v>
      </x:c>
      <x:c r="L3" s="38" t="n">
        <x:v>3000</x:v>
      </x:c>
      <x:c r="M3" s="38" t="n">
        <x:v>15000</x:v>
      </x:c>
      <x:c r="N3" s="38" t="n">
        <x:v>0</x:v>
      </x:c>
      <x:c r="O3" s="38" t="n">
        <x:v>140000</x:v>
      </x:c>
      <x:c r="P3" s="17" t="str">
        <x:v>Đơn hợp lệ</x:v>
      </x:c>
    </x:row>
    <x:row r="4">
      <x:c r="A4" s="15" t="str">
        <x:v>250512ABC003</x:v>
      </x:c>
      <x:c r="B4" s="30" t="n">
        <x:v>46153.458333333336</x:v>
      </x:c>
      <x:c r="C4" s="16" t="str">
        <x:v>Đã hoàn tiền</x:v>
      </x:c>
      <x:c r="D4" s="16" t="str">
        <x:v>khachhang_03</x:v>
      </x:c>
      <x:c r="E4" s="16" t="str">
        <x:v>SKIN-001</x:v>
      </x:c>
      <x:c r="F4" s="16" t="str">
        <x:v>Sữa rửa mặt trà xanh 100ml</x:v>
      </x:c>
      <x:c r="G4" s="34" t="n">
        <x:v>2</x:v>
      </x:c>
      <x:c r="H4" s="38" t="n">
        <x:v>120000</x:v>
      </x:c>
      <x:c r="I4" s="38" t="n">
        <x:v>240000</x:v>
      </x:c>
      <x:c r="J4" s="38" t="n">
        <x:v>0</x:v>
      </x:c>
      <x:c r="K4" s="38" t="n">
        <x:v>0</x:v>
      </x:c>
      <x:c r="L4" s="38" t="n">
        <x:v>0</x:v>
      </x:c>
      <x:c r="M4" s="38" t="n">
        <x:v>18000</x:v>
      </x:c>
      <x:c r="N4" s="38" t="n">
        <x:v>240000</x:v>
      </x:c>
      <x:c r="O4" s="38" t="n">
        <x:v>0</x:v>
      </x:c>
      <x:c r="P4" s="17" t="str">
        <x:v>Hoàn toàn bộ</x:v>
      </x:c>
    </x:row>
    <x:row r="5">
      <x:c r="A5" s="15" t="str">
        <x:v>250512ABC004</x:v>
      </x:c>
      <x:c r="B5" s="30" t="n">
        <x:v>46153.697916666664</x:v>
      </x:c>
      <x:c r="C5" s="16" t="str">
        <x:v>Hoàn thành</x:v>
      </x:c>
      <x:c r="D5" s="16" t="str">
        <x:v>khachhang_04</x:v>
      </x:c>
      <x:c r="E5" s="16" t="str">
        <x:v>MASK-003</x:v>
      </x:c>
      <x:c r="F5" s="16" t="str">
        <x:v>Mặt nạ dưỡng ẩm 10 miếng</x:v>
      </x:c>
      <x:c r="G5" s="34" t="n">
        <x:v>3</x:v>
      </x:c>
      <x:c r="H5" s="38" t="n">
        <x:v>45000</x:v>
      </x:c>
      <x:c r="I5" s="38" t="n">
        <x:v>135000</x:v>
      </x:c>
      <x:c r="J5" s="38" t="n">
        <x:v>5000</x:v>
      </x:c>
      <x:c r="K5" s="38" t="n">
        <x:v>7000</x:v>
      </x:c>
      <x:c r="L5" s="38" t="n">
        <x:v>2500</x:v>
      </x:c>
      <x:c r="M5" s="38" t="n">
        <x:v>12000</x:v>
      </x:c>
      <x:c r="N5" s="38" t="n">
        <x:v>0</x:v>
      </x:c>
      <x:c r="O5" s="38" t="n">
        <x:v>130000</x:v>
      </x:c>
      <x:c r="P5" s="17" t="str">
        <x:v>Voucher shop</x:v>
      </x:c>
    </x:row>
    <x:row r="6">
      <x:c r="A6" s="15" t="str">
        <x:v>250512ABC005</x:v>
      </x:c>
      <x:c r="B6" s="30" t="n">
        <x:v>46154.34722222222</x:v>
      </x:c>
      <x:c r="C6" s="16" t="str">
        <x:v>Đang giao</x:v>
      </x:c>
      <x:c r="D6" s="16" t="str">
        <x:v>khachhang_05</x:v>
      </x:c>
      <x:c r="E6" s="16" t="str">
        <x:v>SUN-004</x:v>
      </x:c>
      <x:c r="F6" s="16" t="str">
        <x:v>Kem chống nắng SPF50</x:v>
      </x:c>
      <x:c r="G6" s="34" t="n">
        <x:v>1</x:v>
      </x:c>
      <x:c r="H6" s="38" t="n">
        <x:v>220000</x:v>
      </x:c>
      <x:c r="I6" s="38" t="n">
        <x:v>220000</x:v>
      </x:c>
      <x:c r="J6" s="38" t="n">
        <x:v>15000</x:v>
      </x:c>
      <x:c r="K6" s="38" t="n">
        <x:v>11000</x:v>
      </x:c>
      <x:c r="L6" s="38" t="n">
        <x:v>3500</x:v>
      </x:c>
      <x:c r="M6" s="38" t="n">
        <x:v>16000</x:v>
      </x:c>
      <x:c r="N6" s="38" t="n">
        <x:v>0</x:v>
      </x:c>
      <x:c r="O6" s="38" t="n">
        <x:v>205000</x:v>
      </x:c>
      <x:c r="P6" s="17" t="str">
        <x:v>Chưa hoàn thành</x:v>
      </x:c>
    </x:row>
    <x:row r="7">
      <x:c r="A7" s="15" t="str">
        <x:v>250512ABC006</x:v>
      </x:c>
      <x:c r="B7" s="30" t="n">
        <x:v>46154.42013888889</x:v>
      </x:c>
      <x:c r="C7" s="16" t="str">
        <x:v>Đã hủy</x:v>
      </x:c>
      <x:c r="D7" s="16" t="str">
        <x:v>khachhang_06</x:v>
      </x:c>
      <x:c r="E7" s="16" t="str">
        <x:v>LIP-002</x:v>
      </x:c>
      <x:c r="F7" s="16" t="str">
        <x:v>Son dưỡng môi hương dâu</x:v>
      </x:c>
      <x:c r="G7" s="34" t="n">
        <x:v>1</x:v>
      </x:c>
      <x:c r="H7" s="38" t="n">
        <x:v>150000</x:v>
      </x:c>
      <x:c r="I7" s="38" t="n">
        <x:v>150000</x:v>
      </x:c>
      <x:c r="J7" s="38" t="n">
        <x:v>0</x:v>
      </x:c>
      <x:c r="K7" s="38" t="n">
        <x:v>0</x:v>
      </x:c>
      <x:c r="L7" s="38" t="n">
        <x:v>0</x:v>
      </x:c>
      <x:c r="M7" s="38" t="n">
        <x:v>0</x:v>
      </x:c>
      <x:c r="N7" s="38" t="n">
        <x:v>150000</x:v>
      </x:c>
      <x:c r="O7" s="38" t="n">
        <x:v>0</x:v>
      </x:c>
      <x:c r="P7" s="17" t="str">
        <x:v>Khách hủy</x:v>
      </x:c>
    </x:row>
    <x:row r="8">
      <x:c r="A8" s="15" t="str">
        <x:v>250512ABC007</x:v>
      </x:c>
      <x:c r="B8" s="30" t="n">
        <x:v>46154.756944444445</x:v>
      </x:c>
      <x:c r="C8" s="16" t="str">
        <x:v>Hoàn thành</x:v>
      </x:c>
      <x:c r="D8" s="16" t="str">
        <x:v>khachhang_07</x:v>
      </x:c>
      <x:c r="E8" s="16" t="str">
        <x:v>SERUM-005</x:v>
      </x:c>
      <x:c r="F8" s="16" t="str">
        <x:v>Serum vitamin C 30ml</x:v>
      </x:c>
      <x:c r="G8" s="34" t="n">
        <x:v>1</x:v>
      </x:c>
      <x:c r="H8" s="38" t="n">
        <x:v>320000</x:v>
      </x:c>
      <x:c r="I8" s="38" t="n">
        <x:v>320000</x:v>
      </x:c>
      <x:c r="J8" s="38" t="n">
        <x:v>30000</x:v>
      </x:c>
      <x:c r="K8" s="38" t="n">
        <x:v>16000</x:v>
      </x:c>
      <x:c r="L8" s="38" t="n">
        <x:v>5000</x:v>
      </x:c>
      <x:c r="M8" s="38" t="n">
        <x:v>20000</x:v>
      </x:c>
      <x:c r="N8" s="38" t="n">
        <x:v>0</x:v>
      </x:c>
      <x:c r="O8" s="38" t="n">
        <x:v>290000</x:v>
      </x:c>
      <x:c r="P8" s="17" t="str">
        <x:v>Đơn giá trị cao</x:v>
      </x:c>
    </x:row>
    <x:row r="9">
      <x:c r="A9" s="15" t="str">
        <x:v>250512ABC008</x:v>
      </x:c>
      <x:c r="B9" s="30" t="n">
        <x:v>46155.375</x:v>
      </x:c>
      <x:c r="C9" s="16" t="str">
        <x:v>Hoàn thành</x:v>
      </x:c>
      <x:c r="D9" s="16" t="str">
        <x:v>khachhang_08</x:v>
      </x:c>
      <x:c r="E9" s="16" t="str">
        <x:v>SKIN-001</x:v>
      </x:c>
      <x:c r="F9" s="16" t="str">
        <x:v>Sữa rửa mặt trà xanh 100ml</x:v>
      </x:c>
      <x:c r="G9" s="34" t="n">
        <x:v>1</x:v>
      </x:c>
      <x:c r="H9" s="38" t="n">
        <x:v>120000</x:v>
      </x:c>
      <x:c r="I9" s="38" t="n">
        <x:v>120000</x:v>
      </x:c>
      <x:c r="J9" s="38" t="n">
        <x:v>0</x:v>
      </x:c>
      <x:c r="K9" s="38" t="n">
        <x:v>6000</x:v>
      </x:c>
      <x:c r="L9" s="38" t="n">
        <x:v>2000</x:v>
      </x:c>
      <x:c r="M9" s="38" t="n">
        <x:v>12000</x:v>
      </x:c>
      <x:c r="N9" s="38" t="n">
        <x:v>0</x:v>
      </x:c>
      <x:c r="O9" s="38" t="n">
        <x:v>120000</x:v>
      </x:c>
      <x:c r="P9" s="17" t="str"/>
    </x:row>
    <x:row r="10">
      <x:c r="A10" s="15" t="str">
        <x:v>250512ABC009</x:v>
      </x:c>
      <x:c r="B10" s="30" t="n">
        <x:v>46155.56597222222</x:v>
      </x:c>
      <x:c r="C10" s="16" t="str">
        <x:v>Hoàn thành</x:v>
      </x:c>
      <x:c r="D10" s="16" t="str">
        <x:v>khachhang_09</x:v>
      </x:c>
      <x:c r="E10" s="16" t="str">
        <x:v>MASK-003</x:v>
      </x:c>
      <x:c r="F10" s="16" t="str">
        <x:v>Mặt nạ dưỡng ẩm 10 miếng</x:v>
      </x:c>
      <x:c r="G10" s="34" t="n">
        <x:v>2</x:v>
      </x:c>
      <x:c r="H10" s="38" t="n">
        <x:v>45000</x:v>
      </x:c>
      <x:c r="I10" s="38" t="n">
        <x:v>90000</x:v>
      </x:c>
      <x:c r="J10" s="38" t="n">
        <x:v>10000</x:v>
      </x:c>
      <x:c r="K10" s="38" t="n">
        <x:v>5000</x:v>
      </x:c>
      <x:c r="L10" s="38" t="n">
        <x:v>1500</x:v>
      </x:c>
      <x:c r="M10" s="38" t="n">
        <x:v>10000</x:v>
      </x:c>
      <x:c r="N10" s="38" t="n">
        <x:v>0</x:v>
      </x:c>
      <x:c r="O10" s="38" t="n">
        <x:v>80000</x:v>
      </x:c>
      <x:c r="P10" s="17" t="str">
        <x:v>Flash sale</x:v>
      </x:c>
    </x:row>
    <x:row r="11">
      <x:c r="A11" s="18" t="str">
        <x:v>250512ABC010</x:v>
      </x:c>
      <x:c r="B11" s="31" t="n">
        <x:v>46156.84375</x:v>
      </x:c>
      <x:c r="C11" s="19" t="str">
        <x:v>Hoàn thành</x:v>
      </x:c>
      <x:c r="D11" s="19" t="str">
        <x:v>khachhang_10</x:v>
      </x:c>
      <x:c r="E11" s="19" t="str">
        <x:v>SUN-004</x:v>
      </x:c>
      <x:c r="F11" s="19" t="str">
        <x:v>Kem chống nắng SPF50</x:v>
      </x:c>
      <x:c r="G11" s="35" t="n">
        <x:v>2</x:v>
      </x:c>
      <x:c r="H11" s="39" t="n">
        <x:v>220000</x:v>
      </x:c>
      <x:c r="I11" s="39" t="n">
        <x:v>440000</x:v>
      </x:c>
      <x:c r="J11" s="39" t="n">
        <x:v>40000</x:v>
      </x:c>
      <x:c r="K11" s="39" t="n">
        <x:v>22000</x:v>
      </x:c>
      <x:c r="L11" s="39" t="n">
        <x:v>7000</x:v>
      </x:c>
      <x:c r="M11" s="39" t="n">
        <x:v>22000</x:v>
      </x:c>
      <x:c r="N11" s="39" t="n">
        <x:v>0</x:v>
      </x:c>
      <x:c r="O11" s="39" t="n">
        <x:v>400000</x:v>
      </x:c>
      <x:c r="P11" s="20" t="str">
        <x:v>Combo 2 sản phẩm</x:v>
      </x:c>
    </x:row>
  </x:sheetData>
  <x:pageMargins left="0.7" right="0.7" top="0.75" bottom="0.75" header="0.3" footer="0.3"/>
  <x:tableParts count="1">
    <x:tablePart xmlns:r="http://schemas.openxmlformats.org/officeDocument/2006/relationships" r:id="R81599ff100b74d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6" hidden="0" customWidth="1"/>
  </x:cols>
  <x:sheetData>
    <x:row r="1">
      <x:c r="A1" s="48" t="str">
        <x:v>Cột trong file</x:v>
      </x:c>
      <x:c r="B1" s="49" t="str">
        <x:v>Field chuẩn gợi ý</x:v>
      </x:c>
      <x:c r="C1" s="50" t="str">
        <x:v>Ghi chú test mapping</x:v>
      </x:c>
    </x:row>
    <x:row r="2">
      <x:c r="A2" s="15" t="str">
        <x:v>Mã đơn hàng</x:v>
      </x:c>
      <x:c r="B2" s="16" t="str">
        <x:v>external_order_id</x:v>
      </x:c>
      <x:c r="C2" s="17" t="str">
        <x:v>Required, unique key</x:v>
      </x:c>
    </x:row>
    <x:row r="3">
      <x:c r="A3" s="15" t="str">
        <x:v>Ngày đặt hàng</x:v>
      </x:c>
      <x:c r="B3" s="16" t="str">
        <x:v>order_date</x:v>
      </x:c>
      <x:c r="C3" s="17" t="str">
        <x:v>Date/datetime</x:v>
      </x:c>
    </x:row>
    <x:row r="4">
      <x:c r="A4" s="15" t="str">
        <x:v>Trạng thái đơn hàng</x:v>
      </x:c>
      <x:c r="B4" s="16" t="str">
        <x:v>order_status</x:v>
      </x:c>
      <x:c r="C4" s="17" t="str">
        <x:v>Chuẩn hóa trạng thái tiếng Việt</x:v>
      </x:c>
    </x:row>
    <x:row r="5">
      <x:c r="A5" s="15" t="str">
        <x:v>Tên đăng nhập người mua</x:v>
      </x:c>
      <x:c r="B5" s="16" t="str">
        <x:v>buyer_username</x:v>
      </x:c>
      <x:c r="C5" s="17" t="str">
        <x:v>Optional</x:v>
      </x:c>
    </x:row>
    <x:row r="6">
      <x:c r="A6" s="15" t="str">
        <x:v>Mã SKU</x:v>
      </x:c>
      <x:c r="B6" s="16" t="str">
        <x:v>sku</x:v>
      </x:c>
      <x:c r="C6" s="17" t="str">
        <x:v>Required</x:v>
      </x:c>
    </x:row>
    <x:row r="7">
      <x:c r="A7" s="15" t="str">
        <x:v>Tên sản phẩm</x:v>
      </x:c>
      <x:c r="B7" s="16" t="str">
        <x:v>product_name</x:v>
      </x:c>
      <x:c r="C7" s="17" t="str">
        <x:v>Required</x:v>
      </x:c>
    </x:row>
    <x:row r="8">
      <x:c r="A8" s="15" t="str">
        <x:v>Số lượng</x:v>
      </x:c>
      <x:c r="B8" s="16" t="str">
        <x:v>quantity</x:v>
      </x:c>
      <x:c r="C8" s="17" t="str">
        <x:v>Required integer</x:v>
      </x:c>
    </x:row>
    <x:row r="9">
      <x:c r="A9" s="15" t="str">
        <x:v>Đơn giá</x:v>
      </x:c>
      <x:c r="B9" s="16" t="str">
        <x:v>unit_price</x:v>
      </x:c>
      <x:c r="C9" s="17" t="str">
        <x:v>Amount VND</x:v>
      </x:c>
    </x:row>
    <x:row r="10">
      <x:c r="A10" s="15" t="str">
        <x:v>Doanh thu gộp</x:v>
      </x:c>
      <x:c r="B10" s="16" t="str">
        <x:v>gross_revenue_amount</x:v>
      </x:c>
      <x:c r="C10" s="17" t="str">
        <x:v>Amount VND</x:v>
      </x:c>
    </x:row>
    <x:row r="11">
      <x:c r="A11" s="15" t="str">
        <x:v>Giảm giá</x:v>
      </x:c>
      <x:c r="B11" s="16" t="str">
        <x:v>discount_amount</x:v>
      </x:c>
      <x:c r="C11" s="17" t="str">
        <x:v>Amount VND</x:v>
      </x:c>
    </x:row>
    <x:row r="12">
      <x:c r="A12" s="15" t="str">
        <x:v>Phí sàn</x:v>
      </x:c>
      <x:c r="B12" s="16" t="str">
        <x:v>platform_fee_amount</x:v>
      </x:c>
      <x:c r="C12" s="17" t="str">
        <x:v>Amount VND</x:v>
      </x:c>
    </x:row>
    <x:row r="13">
      <x:c r="A13" s="15" t="str">
        <x:v>Phí thanh toán</x:v>
      </x:c>
      <x:c r="B13" s="16" t="str">
        <x:v>transaction_fee_amount</x:v>
      </x:c>
      <x:c r="C13" s="17" t="str">
        <x:v>Amount VND</x:v>
      </x:c>
    </x:row>
    <x:row r="14">
      <x:c r="A14" s="15" t="str">
        <x:v>Phí vận chuyển</x:v>
      </x:c>
      <x:c r="B14" s="16" t="str">
        <x:v>shipping_fee_amount</x:v>
      </x:c>
      <x:c r="C14" s="17" t="str">
        <x:v>Amount VND</x:v>
      </x:c>
    </x:row>
    <x:row r="15">
      <x:c r="A15" s="15" t="str">
        <x:v>Hoàn tiền</x:v>
      </x:c>
      <x:c r="B15" s="16" t="str">
        <x:v>refund_amount</x:v>
      </x:c>
      <x:c r="C15" s="17" t="str">
        <x:v>Amount VND</x:v>
      </x:c>
    </x:row>
    <x:row r="16">
      <x:c r="A16" s="18" t="str">
        <x:v>Doanh thu thuần</x:v>
      </x:c>
      <x:c r="B16" s="19" t="str">
        <x:v>net_revenue_amount</x:v>
      </x:c>
      <x:c r="C16" s="20" t="str">
        <x:v>Amount VND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0" t="str">
        <x:v>Mục</x:v>
      </x:c>
      <x:c r="B1" s="64" t="str">
        <x:v>Giá trị</x:v>
      </x:c>
    </x:row>
    <x:row r="2">
      <x:c r="A2" s="15" t="str">
        <x:v>Mục đích</x:v>
      </x:c>
      <x:c r="B2" s="17" t="str">
        <x:v>File mẫu để test core Shopee VN ETL: upload → parse → suggest mapping → confirm mapping → run import.</x:v>
      </x:c>
    </x:row>
    <x:row r="3">
      <x:c r="A3" s="15" t="str">
        <x:v>Workspace test</x:v>
      </x:c>
      <x:c r="B3" s="17" t="str">
        <x:v>Dùng organizationWorkspaceId hoặc personalWorkspaceId từ API /api/v1/dev/swagger-test-ids</x:v>
      </x:c>
    </x:row>
    <x:row r="4">
      <x:c r="A4" s="15" t="str">
        <x:v>Store test</x:v>
      </x:c>
      <x:c r="B4" s="17" t="str">
        <x:v>Dùng organizationStoreId hoặc personalStoreId tương ứng với workspace đang chọn</x:v>
      </x:c>
    </x:row>
    <x:row r="5">
      <x:c r="A5" s="15" t="str">
        <x:v>Sheet cần upload</x:v>
      </x:c>
      <x:c r="B5" s="17" t="str">
        <x:v>Shopee_Order_VN</x:v>
      </x:c>
    </x:row>
    <x:row r="6">
      <x:c r="A6" s="15" t="str">
        <x:v>AI mapping</x:v>
      </x:c>
      <x:c r="B6" s="17" t="str">
        <x:v>Có thể tắt APP_AI_ENABLED=false; rule-based mapping vẫn map được các cột phổ biến.</x:v>
      </x:c>
    </x:row>
    <x:row r="7">
      <x:c r="A7" s="18" t="str">
        <x:v>Lưu ý</x:v>
      </x:c>
      <x:c r="B7" s="20" t="str">
        <x:v>Không nên import sheet Mapping_Guide hoặc Test_Info; chỉ dùng sheet Shopee_Order_VN.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</x:cols>
  <x:sheetData>
    <x:row r="1">
      <x:c r="A1" s="72" t="str">
        <x:v>Chỉ số kỳ vọng sau import</x:v>
      </x:c>
      <x:c r="B1" s="73" t="str">
        <x:v>Giá trị</x:v>
      </x:c>
    </x:row>
    <x:row r="2">
      <x:c r="A2" s="15" t="str">
        <x:v>Tổng số dòng</x:v>
      </x:c>
      <x:c r="B2" s="17" t="n">
        <x:f>COUNTA(Shopee_Order_VN!A2:A11)</x:f>
        <x:v>10</x:v>
      </x:c>
    </x:row>
    <x:row r="3">
      <x:c r="A3" s="15" t="str">
        <x:v>Tổng doanh thu gộp</x:v>
      </x:c>
      <x:c r="B3" s="76" t="n">
        <x:f>SUM(Shopee_Order_VN!I2:I11)</x:f>
        <x:v>2105000</x:v>
      </x:c>
    </x:row>
    <x:row r="4">
      <x:c r="A4" s="15" t="str">
        <x:v>Tổng doanh thu thuần</x:v>
      </x:c>
      <x:c r="B4" s="76" t="n">
        <x:f>SUM(Shopee_Order_VN!O2:O11)</x:f>
        <x:v>1585000</x:v>
      </x:c>
    </x:row>
    <x:row r="5">
      <x:c r="A5" s="15" t="str">
        <x:v>Tổng hoàn tiền</x:v>
      </x:c>
      <x:c r="B5" s="76" t="n">
        <x:f>SUM(Shopee_Order_VN!N2:N11)</x:f>
        <x:v>390000</x:v>
      </x:c>
    </x:row>
    <x:row r="6">
      <x:c r="A6" s="15" t="str">
        <x:v>Số đơn hoàn thành</x:v>
      </x:c>
      <x:c r="B6" s="17" t="n">
        <x:f>COUNTIF(Shopee_Order_VN!C2:C11,"Hoàn thành")</x:f>
        <x:v>7</x:v>
      </x:c>
    </x:row>
    <x:row r="7">
      <x:c r="A7" s="18" t="str">
        <x:v>Số SKU khác nhau</x:v>
      </x:c>
      <x:c r="B7" s="20" t="n">
        <x:f>COUNTA(UNIQUE(Shopee_Order_VN!E2:E11))</x:f>
        <x:v>5</x:v>
      </x:c>
    </x:row>
  </x:sheetData>
  <x:pageMargins left="0.7" right="0.7" top="0.75" bottom="0.75" header="0.3" footer="0.3"/>
</x:worksheet>
</file>